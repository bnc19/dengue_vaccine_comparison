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Butantan_efficacy/data/"/>
    </mc:Choice>
  </mc:AlternateContent>
  <xr:revisionPtr revIDLastSave="0" documentId="13_ncr:1_{B5CB84CB-D88B-B648-919B-9B4654A5EE67}" xr6:coauthVersionLast="47" xr6:coauthVersionMax="47" xr10:uidLastSave="{00000000-0000-0000-0000-000000000000}"/>
  <bookViews>
    <workbookView xWindow="0" yWindow="740" windowWidth="29400" windowHeight="17160" activeTab="1" xr2:uid="{91F14966-8B2E-774F-B2A4-DA7B9B015462}"/>
  </bookViews>
  <sheets>
    <sheet name="serotype" sheetId="1" r:id="rId1"/>
    <sheet name="age" sheetId="3" r:id="rId2"/>
    <sheet name="age_serostatu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2" i="3"/>
</calcChain>
</file>

<file path=xl/sharedStrings.xml><?xml version="1.0" encoding="utf-8"?>
<sst xmlns="http://schemas.openxmlformats.org/spreadsheetml/2006/main" count="107" uniqueCount="21">
  <si>
    <t>Outcome</t>
  </si>
  <si>
    <t>Time</t>
  </si>
  <si>
    <t>Age</t>
  </si>
  <si>
    <t>Serotype</t>
  </si>
  <si>
    <t>Serostatus</t>
  </si>
  <si>
    <t>Y</t>
  </si>
  <si>
    <t xml:space="preserve">N </t>
  </si>
  <si>
    <t>all</t>
  </si>
  <si>
    <t>D1</t>
  </si>
  <si>
    <t>SP</t>
  </si>
  <si>
    <t>SN</t>
  </si>
  <si>
    <t>D2</t>
  </si>
  <si>
    <t>Arm</t>
  </si>
  <si>
    <t>placebo</t>
  </si>
  <si>
    <t>symp</t>
  </si>
  <si>
    <t>vaccine</t>
  </si>
  <si>
    <t>IR</t>
  </si>
  <si>
    <t>N</t>
  </si>
  <si>
    <t>2-6yrs</t>
  </si>
  <si>
    <t>7-17yrs</t>
  </si>
  <si>
    <t>18-59yrs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</si>
</sst>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A0AA-ED5E-D843-A1E2-8A3AD1D6BCDA}">
  <dimension ref="A1:H9"/>
  <sheetViews>
    <sheetView workbookViewId="0">
      <selection sqref="A1:H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5</v>
      </c>
      <c r="H1" t="s">
        <v>6</v>
      </c>
    </row>
    <row r="2" spans="1:8" x14ac:dyDescent="0.2">
      <c r="A2" t="s">
        <v>14</v>
      </c>
      <c r="B2">
        <v>24</v>
      </c>
      <c r="C2" t="s">
        <v>7</v>
      </c>
      <c r="D2" t="s">
        <v>8</v>
      </c>
      <c r="E2" t="s">
        <v>9</v>
      </c>
      <c r="F2" t="s">
        <v>15</v>
      </c>
      <c r="G2">
        <v>1</v>
      </c>
      <c r="H2">
        <v>4994</v>
      </c>
    </row>
    <row r="3" spans="1:8" x14ac:dyDescent="0.2">
      <c r="A3" t="s">
        <v>14</v>
      </c>
      <c r="B3">
        <v>24</v>
      </c>
      <c r="C3" t="s">
        <v>7</v>
      </c>
      <c r="D3" t="s">
        <v>8</v>
      </c>
      <c r="E3" t="s">
        <v>10</v>
      </c>
      <c r="F3" t="s">
        <v>15</v>
      </c>
      <c r="G3">
        <v>8</v>
      </c>
      <c r="H3">
        <v>4826</v>
      </c>
    </row>
    <row r="4" spans="1:8" x14ac:dyDescent="0.2">
      <c r="A4" t="s">
        <v>14</v>
      </c>
      <c r="B4">
        <v>24</v>
      </c>
      <c r="C4" t="s">
        <v>7</v>
      </c>
      <c r="D4" t="s">
        <v>11</v>
      </c>
      <c r="E4" t="s">
        <v>9</v>
      </c>
      <c r="F4" t="s">
        <v>15</v>
      </c>
      <c r="G4">
        <v>7</v>
      </c>
      <c r="H4">
        <v>4994</v>
      </c>
    </row>
    <row r="5" spans="1:8" x14ac:dyDescent="0.2">
      <c r="A5" t="s">
        <v>14</v>
      </c>
      <c r="B5">
        <v>24</v>
      </c>
      <c r="C5" t="s">
        <v>7</v>
      </c>
      <c r="D5" t="s">
        <v>11</v>
      </c>
      <c r="E5" t="s">
        <v>10</v>
      </c>
      <c r="F5" t="s">
        <v>15</v>
      </c>
      <c r="G5">
        <v>18</v>
      </c>
      <c r="H5">
        <v>4826</v>
      </c>
    </row>
    <row r="6" spans="1:8" x14ac:dyDescent="0.2">
      <c r="A6" t="s">
        <v>14</v>
      </c>
      <c r="B6">
        <v>24</v>
      </c>
      <c r="C6" t="s">
        <v>7</v>
      </c>
      <c r="D6" t="s">
        <v>8</v>
      </c>
      <c r="E6" t="s">
        <v>9</v>
      </c>
      <c r="F6" t="s">
        <v>13</v>
      </c>
      <c r="G6">
        <v>19</v>
      </c>
      <c r="H6">
        <v>3023</v>
      </c>
    </row>
    <row r="7" spans="1:8" x14ac:dyDescent="0.2">
      <c r="A7" t="s">
        <v>14</v>
      </c>
      <c r="B7">
        <v>24</v>
      </c>
      <c r="C7" t="s">
        <v>7</v>
      </c>
      <c r="D7" t="s">
        <v>8</v>
      </c>
      <c r="E7" t="s">
        <v>10</v>
      </c>
      <c r="F7" t="s">
        <v>13</v>
      </c>
      <c r="G7">
        <v>31</v>
      </c>
      <c r="H7">
        <v>2690</v>
      </c>
    </row>
    <row r="8" spans="1:8" x14ac:dyDescent="0.2">
      <c r="A8" t="s">
        <v>14</v>
      </c>
      <c r="B8">
        <v>24</v>
      </c>
      <c r="C8" t="s">
        <v>7</v>
      </c>
      <c r="D8" t="s">
        <v>11</v>
      </c>
      <c r="E8" t="s">
        <v>9</v>
      </c>
      <c r="F8" t="s">
        <v>13</v>
      </c>
      <c r="G8">
        <v>26</v>
      </c>
      <c r="H8">
        <v>3023</v>
      </c>
    </row>
    <row r="9" spans="1:8" x14ac:dyDescent="0.2">
      <c r="A9" t="s">
        <v>14</v>
      </c>
      <c r="B9">
        <v>24</v>
      </c>
      <c r="C9" t="s">
        <v>7</v>
      </c>
      <c r="D9" t="s">
        <v>11</v>
      </c>
      <c r="E9" t="s">
        <v>10</v>
      </c>
      <c r="F9" t="s">
        <v>13</v>
      </c>
      <c r="G9">
        <v>24</v>
      </c>
      <c r="H9">
        <v>2690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6A75-9517-AA40-85BF-CD1A979732B6}">
  <dimension ref="A1:E13"/>
  <sheetViews>
    <sheetView tabSelected="1" workbookViewId="0">
      <selection activeCell="F1" sqref="F1:F7"/>
    </sheetView>
  </sheetViews>
  <sheetFormatPr baseColWidth="10" defaultRowHeight="16" x14ac:dyDescent="0.2"/>
  <sheetData>
    <row r="1" spans="1:5" x14ac:dyDescent="0.2">
      <c r="A1" t="s">
        <v>2</v>
      </c>
      <c r="B1" t="s">
        <v>12</v>
      </c>
      <c r="C1" t="s">
        <v>16</v>
      </c>
      <c r="D1" t="s">
        <v>17</v>
      </c>
      <c r="E1" t="s">
        <v>5</v>
      </c>
    </row>
    <row r="2" spans="1:5" x14ac:dyDescent="0.2">
      <c r="A2" s="1" t="s">
        <v>18</v>
      </c>
      <c r="B2" t="s">
        <v>15</v>
      </c>
      <c r="C2">
        <v>0.3</v>
      </c>
      <c r="D2">
        <v>3337</v>
      </c>
      <c r="E2">
        <f>ROUND(C2/100 * 2 *D2,0)</f>
        <v>20</v>
      </c>
    </row>
    <row r="3" spans="1:5" x14ac:dyDescent="0.2">
      <c r="A3" s="1" t="s">
        <v>18</v>
      </c>
      <c r="B3" t="s">
        <v>13</v>
      </c>
      <c r="C3">
        <v>1.5</v>
      </c>
      <c r="D3">
        <v>1679</v>
      </c>
      <c r="E3">
        <f t="shared" ref="E3:E7" si="0">ROUND(C3/100 * 2 *D3,0)</f>
        <v>50</v>
      </c>
    </row>
    <row r="4" spans="1:5" x14ac:dyDescent="0.2">
      <c r="A4" s="1" t="s">
        <v>19</v>
      </c>
      <c r="B4" t="s">
        <v>15</v>
      </c>
      <c r="C4">
        <v>0.18</v>
      </c>
      <c r="D4">
        <v>3376</v>
      </c>
      <c r="E4">
        <f t="shared" si="0"/>
        <v>12</v>
      </c>
    </row>
    <row r="5" spans="1:5" x14ac:dyDescent="0.2">
      <c r="A5" s="1" t="s">
        <v>19</v>
      </c>
      <c r="B5" t="s">
        <v>13</v>
      </c>
      <c r="C5">
        <v>0.79</v>
      </c>
      <c r="D5">
        <v>1771</v>
      </c>
      <c r="E5">
        <f t="shared" si="0"/>
        <v>28</v>
      </c>
    </row>
    <row r="6" spans="1:5" x14ac:dyDescent="0.2">
      <c r="A6" s="1" t="s">
        <v>20</v>
      </c>
      <c r="B6" t="s">
        <v>15</v>
      </c>
      <c r="C6">
        <v>0.04</v>
      </c>
      <c r="D6">
        <v>3546</v>
      </c>
      <c r="E6">
        <f t="shared" si="0"/>
        <v>3</v>
      </c>
    </row>
    <row r="7" spans="1:5" x14ac:dyDescent="0.2">
      <c r="A7" s="1" t="s">
        <v>20</v>
      </c>
      <c r="B7" t="s">
        <v>13</v>
      </c>
      <c r="C7">
        <v>0.44</v>
      </c>
      <c r="D7">
        <v>2526</v>
      </c>
      <c r="E7">
        <f t="shared" si="0"/>
        <v>22</v>
      </c>
    </row>
    <row r="8" spans="1:5" x14ac:dyDescent="0.2">
      <c r="A8" s="1"/>
    </row>
    <row r="9" spans="1:5" x14ac:dyDescent="0.2">
      <c r="A9" s="1"/>
    </row>
    <row r="10" spans="1:5" x14ac:dyDescent="0.2">
      <c r="A10" s="1"/>
    </row>
    <row r="11" spans="1:5" x14ac:dyDescent="0.2">
      <c r="A11" s="1"/>
    </row>
    <row r="12" spans="1:5" x14ac:dyDescent="0.2">
      <c r="A12" s="1"/>
    </row>
    <row r="13" spans="1:5" x14ac:dyDescent="0.2">
      <c r="A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82E9-D77E-3E42-84C7-EE118F3AA19F}">
  <dimension ref="A1:F13"/>
  <sheetViews>
    <sheetView workbookViewId="0">
      <selection activeCell="C2" sqref="C2:C5"/>
    </sheetView>
  </sheetViews>
  <sheetFormatPr baseColWidth="10" defaultRowHeight="16" x14ac:dyDescent="0.2"/>
  <sheetData>
    <row r="1" spans="1:6" x14ac:dyDescent="0.2">
      <c r="A1" t="s">
        <v>2</v>
      </c>
      <c r="B1" t="s">
        <v>4</v>
      </c>
      <c r="C1" t="s">
        <v>12</v>
      </c>
      <c r="D1" t="s">
        <v>16</v>
      </c>
      <c r="E1" t="s">
        <v>17</v>
      </c>
      <c r="F1" t="s">
        <v>5</v>
      </c>
    </row>
    <row r="2" spans="1:6" x14ac:dyDescent="0.2">
      <c r="A2" s="1" t="s">
        <v>18</v>
      </c>
      <c r="B2" t="s">
        <v>9</v>
      </c>
      <c r="C2" t="s">
        <v>15</v>
      </c>
      <c r="D2">
        <v>0.09</v>
      </c>
    </row>
    <row r="3" spans="1:6" x14ac:dyDescent="0.2">
      <c r="A3" s="1" t="s">
        <v>18</v>
      </c>
      <c r="B3" t="s">
        <v>10</v>
      </c>
      <c r="C3" t="s">
        <v>15</v>
      </c>
      <c r="D3">
        <v>0.35</v>
      </c>
    </row>
    <row r="4" spans="1:6" x14ac:dyDescent="0.2">
      <c r="A4" s="1" t="s">
        <v>18</v>
      </c>
      <c r="B4" t="s">
        <v>9</v>
      </c>
      <c r="C4" t="s">
        <v>13</v>
      </c>
      <c r="D4">
        <v>2.52</v>
      </c>
    </row>
    <row r="5" spans="1:6" x14ac:dyDescent="0.2">
      <c r="A5" s="1" t="s">
        <v>18</v>
      </c>
      <c r="B5" t="s">
        <v>10</v>
      </c>
      <c r="C5" t="s">
        <v>13</v>
      </c>
      <c r="D5">
        <v>1.32</v>
      </c>
    </row>
    <row r="6" spans="1:6" x14ac:dyDescent="0.2">
      <c r="A6" s="1" t="s">
        <v>19</v>
      </c>
      <c r="B6" t="s">
        <v>9</v>
      </c>
      <c r="C6" t="s">
        <v>15</v>
      </c>
      <c r="D6">
        <v>0.14000000000000001</v>
      </c>
    </row>
    <row r="7" spans="1:6" x14ac:dyDescent="0.2">
      <c r="A7" s="1" t="s">
        <v>19</v>
      </c>
      <c r="B7" t="s">
        <v>10</v>
      </c>
      <c r="C7" t="s">
        <v>15</v>
      </c>
      <c r="D7">
        <v>0.21</v>
      </c>
    </row>
    <row r="8" spans="1:6" x14ac:dyDescent="0.2">
      <c r="A8" s="1" t="s">
        <v>19</v>
      </c>
      <c r="B8" t="s">
        <v>9</v>
      </c>
      <c r="C8" t="s">
        <v>13</v>
      </c>
      <c r="D8">
        <v>0.8</v>
      </c>
    </row>
    <row r="9" spans="1:6" x14ac:dyDescent="0.2">
      <c r="A9" s="1" t="s">
        <v>19</v>
      </c>
      <c r="B9" t="s">
        <v>10</v>
      </c>
      <c r="C9" t="s">
        <v>13</v>
      </c>
      <c r="D9">
        <v>0.84</v>
      </c>
    </row>
    <row r="10" spans="1:6" x14ac:dyDescent="0.2">
      <c r="A10" s="1" t="s">
        <v>20</v>
      </c>
      <c r="B10" t="s">
        <v>9</v>
      </c>
      <c r="C10" t="s">
        <v>15</v>
      </c>
      <c r="D10">
        <v>0.02</v>
      </c>
    </row>
    <row r="11" spans="1:6" x14ac:dyDescent="0.2">
      <c r="A11" s="1" t="s">
        <v>20</v>
      </c>
      <c r="B11" t="s">
        <v>10</v>
      </c>
      <c r="C11" t="s">
        <v>15</v>
      </c>
      <c r="D11">
        <v>0.12</v>
      </c>
    </row>
    <row r="12" spans="1:6" x14ac:dyDescent="0.2">
      <c r="A12" s="1" t="s">
        <v>20</v>
      </c>
      <c r="B12" t="s">
        <v>9</v>
      </c>
      <c r="C12" t="s">
        <v>13</v>
      </c>
      <c r="D12">
        <v>0.41</v>
      </c>
    </row>
    <row r="13" spans="1:6" x14ac:dyDescent="0.2">
      <c r="A13" s="1" t="s">
        <v>20</v>
      </c>
      <c r="B13" t="s">
        <v>10</v>
      </c>
      <c r="C13" t="s">
        <v>13</v>
      </c>
      <c r="D13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serotype</vt:lpstr>
      <vt:lpstr>age</vt:lpstr>
      <vt:lpstr>age_serostatus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2024-01-10T14:36:16Z</dcterms:created>
  <dcterms:modified xsi:type="dcterms:W3CDTF">2024-01-16T09:43:07Z</dcterms:modified>
</cp:coreProperties>
</file>