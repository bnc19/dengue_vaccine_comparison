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BUT/"/>
    </mc:Choice>
  </mc:AlternateContent>
  <xr:revisionPtr revIDLastSave="0" documentId="13_ncr:1_{830D35BC-1562-0141-BC4B-00FD3C85FC3B}" xr6:coauthVersionLast="47" xr6:coauthVersionMax="47" xr10:uidLastSave="{00000000-0000-0000-0000-000000000000}"/>
  <bookViews>
    <workbookView xWindow="0" yWindow="740" windowWidth="29400" windowHeight="16980" xr2:uid="{4253C7D8-0DFA-8D41-94E7-11F3119CA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19" i="1"/>
  <c r="E13" i="1"/>
  <c r="E14" i="1"/>
  <c r="E15" i="1"/>
  <c r="E12" i="1"/>
  <c r="E6" i="1"/>
  <c r="E7" i="1"/>
  <c r="E8" i="1"/>
  <c r="E5" i="1"/>
  <c r="D21" i="1" l="1"/>
  <c r="E22" i="1"/>
  <c r="D22" i="1" s="1"/>
</calcChain>
</file>

<file path=xl/sharedStrings.xml><?xml version="1.0" encoding="utf-8"?>
<sst xmlns="http://schemas.openxmlformats.org/spreadsheetml/2006/main" count="28" uniqueCount="9">
  <si>
    <t>If the lc50 for each serotype is proportional within each vaccine, can we predict the VE of DENV3 and DENV4?</t>
  </si>
  <si>
    <t>Serostatus</t>
  </si>
  <si>
    <t xml:space="preserve">Serotype </t>
  </si>
  <si>
    <t>Ratio (compared to D2)</t>
  </si>
  <si>
    <t>lc</t>
  </si>
  <si>
    <t>TAK</t>
  </si>
  <si>
    <t xml:space="preserve">Mean </t>
  </si>
  <si>
    <t>CYD</t>
  </si>
  <si>
    <t>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</si>
</sst>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 indent="4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5" fontId="3" fillId="0" borderId="4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5" fontId="1" fillId="0" borderId="4" xfId="0" applyNumberFormat="1" applyFont="1" applyBorder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B9F2-9955-9240-B9B9-44C267B686ED}">
  <dimension ref="A1:E22"/>
  <sheetViews>
    <sheetView tabSelected="1" topLeftCell="A5" zoomScale="110" workbookViewId="0">
      <selection activeCell="D22" sqref="D22"/>
    </sheetView>
  </sheetViews>
  <sheetFormatPr baseColWidth="10" defaultRowHeight="16" x14ac:dyDescent="0.2"/>
  <cols>
    <col min="1" max="1" width="30.83203125" customWidth="1"/>
    <col min="4" max="5" width="11.83203125" bestFit="1" customWidth="1"/>
  </cols>
  <sheetData>
    <row r="1" spans="1:5" ht="68" x14ac:dyDescent="0.2">
      <c r="A1" s="1" t="s">
        <v>0</v>
      </c>
    </row>
    <row r="3" spans="1:5" ht="17" thickBot="1" x14ac:dyDescent="0.25"/>
    <row r="4" spans="1:5" ht="52" thickBot="1" x14ac:dyDescent="0.25">
      <c r="A4" s="3" t="s">
        <v>5</v>
      </c>
      <c r="B4" s="4" t="s">
        <v>1</v>
      </c>
      <c r="C4" s="4" t="s">
        <v>2</v>
      </c>
      <c r="D4" s="4" t="s">
        <v>6</v>
      </c>
      <c r="E4" s="4" t="s">
        <v>3</v>
      </c>
    </row>
    <row r="5" spans="1:5" ht="18" thickBot="1" x14ac:dyDescent="0.25">
      <c r="A5" s="5" t="s">
        <v>4</v>
      </c>
      <c r="B5" s="6">
        <v>2</v>
      </c>
      <c r="C5" s="6">
        <v>1</v>
      </c>
      <c r="D5" s="12">
        <v>6.7790503094999996</v>
      </c>
      <c r="E5" s="7">
        <f>D5/$D$6</f>
        <v>0.96791210830115137</v>
      </c>
    </row>
    <row r="6" spans="1:5" ht="18" thickBot="1" x14ac:dyDescent="0.25">
      <c r="A6" s="5" t="s">
        <v>4</v>
      </c>
      <c r="B6" s="6">
        <v>2</v>
      </c>
      <c r="C6" s="6">
        <v>2</v>
      </c>
      <c r="D6" s="12">
        <v>7.0037870704999996</v>
      </c>
      <c r="E6" s="7">
        <f t="shared" ref="E6:E8" si="0">D6/$D$6</f>
        <v>1</v>
      </c>
    </row>
    <row r="7" spans="1:5" ht="18" thickBot="1" x14ac:dyDescent="0.25">
      <c r="A7" s="5" t="s">
        <v>4</v>
      </c>
      <c r="B7" s="6">
        <v>2</v>
      </c>
      <c r="C7" s="6">
        <v>3</v>
      </c>
      <c r="D7" s="12">
        <v>6.8585429175000003</v>
      </c>
      <c r="E7" s="7">
        <f t="shared" si="0"/>
        <v>0.97926205472297001</v>
      </c>
    </row>
    <row r="8" spans="1:5" ht="18" thickBot="1" x14ac:dyDescent="0.25">
      <c r="A8" s="5" t="s">
        <v>4</v>
      </c>
      <c r="B8" s="6">
        <v>2</v>
      </c>
      <c r="C8" s="6">
        <v>4</v>
      </c>
      <c r="D8" s="12">
        <v>6.1421138835000004</v>
      </c>
      <c r="E8" s="7">
        <f t="shared" si="0"/>
        <v>0.87697039068629423</v>
      </c>
    </row>
    <row r="9" spans="1:5" x14ac:dyDescent="0.2">
      <c r="A9" s="2"/>
    </row>
    <row r="10" spans="1:5" ht="17" thickBot="1" x14ac:dyDescent="0.25"/>
    <row r="11" spans="1:5" ht="52" thickBot="1" x14ac:dyDescent="0.25">
      <c r="A11" s="3" t="s">
        <v>7</v>
      </c>
      <c r="B11" s="4" t="s">
        <v>1</v>
      </c>
      <c r="C11" s="4" t="s">
        <v>2</v>
      </c>
      <c r="D11" s="4" t="s">
        <v>6</v>
      </c>
      <c r="E11" s="4" t="s">
        <v>3</v>
      </c>
    </row>
    <row r="12" spans="1:5" ht="18" thickBot="1" x14ac:dyDescent="0.25">
      <c r="A12" s="5" t="s">
        <v>4</v>
      </c>
      <c r="B12" s="6">
        <v>2</v>
      </c>
      <c r="C12" s="6">
        <v>1</v>
      </c>
      <c r="D12" s="6">
        <v>5.4755582799999996</v>
      </c>
      <c r="E12" s="7">
        <f>D12/$D$13</f>
        <v>0.93728759179264187</v>
      </c>
    </row>
    <row r="13" spans="1:5" ht="18" thickBot="1" x14ac:dyDescent="0.25">
      <c r="A13" s="5" t="s">
        <v>4</v>
      </c>
      <c r="B13" s="6">
        <v>2</v>
      </c>
      <c r="C13" s="6">
        <v>2</v>
      </c>
      <c r="D13" s="6">
        <v>5.8419190949999997</v>
      </c>
      <c r="E13" s="7">
        <f t="shared" ref="E13:E15" si="1">D13/$D$13</f>
        <v>1</v>
      </c>
    </row>
    <row r="14" spans="1:5" ht="18" thickBot="1" x14ac:dyDescent="0.25">
      <c r="A14" s="5" t="s">
        <v>4</v>
      </c>
      <c r="B14" s="6">
        <v>2</v>
      </c>
      <c r="C14" s="6">
        <v>3</v>
      </c>
      <c r="D14" s="6">
        <v>5.4155467594999998</v>
      </c>
      <c r="E14" s="7">
        <f t="shared" si="1"/>
        <v>0.92701502219280563</v>
      </c>
    </row>
    <row r="15" spans="1:5" ht="18" thickBot="1" x14ac:dyDescent="0.25">
      <c r="A15" s="5" t="s">
        <v>4</v>
      </c>
      <c r="B15" s="6">
        <v>2</v>
      </c>
      <c r="C15" s="6">
        <v>4</v>
      </c>
      <c r="D15" s="12">
        <v>4.3106384835</v>
      </c>
      <c r="E15" s="7">
        <f t="shared" si="1"/>
        <v>0.73788055147655207</v>
      </c>
    </row>
    <row r="17" spans="1:5" ht="17" thickBot="1" x14ac:dyDescent="0.25"/>
    <row r="18" spans="1:5" ht="52" thickBot="1" x14ac:dyDescent="0.25">
      <c r="A18" s="3" t="s">
        <v>8</v>
      </c>
      <c r="B18" s="4" t="s">
        <v>1</v>
      </c>
      <c r="C18" s="4" t="s">
        <v>2</v>
      </c>
      <c r="D18" s="9" t="s">
        <v>6</v>
      </c>
      <c r="E18" s="4" t="s">
        <v>3</v>
      </c>
    </row>
    <row r="19" spans="1:5" ht="18" thickBot="1" x14ac:dyDescent="0.25">
      <c r="A19" s="5" t="s">
        <v>4</v>
      </c>
      <c r="B19" s="6">
        <v>2</v>
      </c>
      <c r="C19" s="8">
        <v>1</v>
      </c>
      <c r="D19" s="12">
        <v>4.7862564975000002</v>
      </c>
      <c r="E19" s="6">
        <f>D19/D20</f>
        <v>0.87923761765222186</v>
      </c>
    </row>
    <row r="20" spans="1:5" ht="18" thickBot="1" x14ac:dyDescent="0.25">
      <c r="A20" s="5" t="s">
        <v>4</v>
      </c>
      <c r="B20" s="6">
        <v>2</v>
      </c>
      <c r="C20" s="8">
        <v>2</v>
      </c>
      <c r="D20" s="12">
        <v>5.443643904</v>
      </c>
      <c r="E20" s="6">
        <v>1</v>
      </c>
    </row>
    <row r="21" spans="1:5" ht="18" thickBot="1" x14ac:dyDescent="0.25">
      <c r="A21" s="5" t="s">
        <v>4</v>
      </c>
      <c r="B21" s="6">
        <v>2</v>
      </c>
      <c r="C21" s="6">
        <v>3</v>
      </c>
      <c r="D21" s="11">
        <f>D20*E21</f>
        <v>5.1885467945437505</v>
      </c>
      <c r="E21" s="10">
        <f>AVERAGE(E7,E14)</f>
        <v>0.95313853845788787</v>
      </c>
    </row>
    <row r="22" spans="1:5" ht="18" thickBot="1" x14ac:dyDescent="0.25">
      <c r="A22" s="5" t="s">
        <v>4</v>
      </c>
      <c r="B22" s="6">
        <v>2</v>
      </c>
      <c r="C22" s="6">
        <v>4</v>
      </c>
      <c r="D22" s="11">
        <f>D20*E22</f>
        <v>4.395336743586717</v>
      </c>
      <c r="E22" s="10">
        <f>AVERAGE(E8,E15)</f>
        <v>0.80742547108142315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2024-01-30T14:31:43Z</dcterms:created>
  <dcterms:modified xsi:type="dcterms:W3CDTF">2024-02-15T14:40:43Z</dcterms:modified>
</cp:coreProperties>
</file>