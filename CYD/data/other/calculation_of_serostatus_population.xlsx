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CYD/data/other/"/>
    </mc:Choice>
  </mc:AlternateContent>
  <xr:revisionPtr revIDLastSave="0" documentId="13_ncr:1_{CFF3F853-46F2-CD49-82EE-B985272B2B4B}" xr6:coauthVersionLast="47" xr6:coauthVersionMax="47" xr10:uidLastSave="{00000000-0000-0000-0000-000000000000}"/>
  <bookViews>
    <workbookView xWindow="0" yWindow="740" windowWidth="29400" windowHeight="17080" activeTab="1" xr2:uid="{AF9D4434-85C1-5447-BC38-93911C970E5B}"/>
  </bookViews>
  <sheets>
    <sheet name="without trial" sheetId="1" r:id="rId1"/>
    <sheet name="with trial (better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H7" i="2" l="1"/>
  <c r="E23" i="2" s="1"/>
  <c r="F23" i="2" s="1"/>
  <c r="G3" i="2"/>
  <c r="D25" i="2"/>
  <c r="F20" i="2"/>
  <c r="F21" i="2"/>
  <c r="F22" i="2"/>
  <c r="F24" i="2"/>
  <c r="F25" i="2"/>
  <c r="F26" i="2"/>
  <c r="F27" i="2"/>
  <c r="F28" i="2"/>
  <c r="F19" i="2"/>
  <c r="E27" i="2"/>
  <c r="E26" i="2"/>
  <c r="E25" i="2"/>
  <c r="E24" i="2"/>
  <c r="E22" i="2"/>
  <c r="E21" i="2"/>
  <c r="E20" i="2"/>
  <c r="E19" i="2"/>
  <c r="E28" i="2"/>
  <c r="D28" i="2"/>
  <c r="D27" i="2"/>
  <c r="D26" i="2"/>
  <c r="D24" i="2"/>
  <c r="D23" i="2"/>
  <c r="D22" i="2"/>
  <c r="D21" i="2"/>
  <c r="D20" i="2"/>
  <c r="D19" i="2"/>
  <c r="N4" i="2"/>
  <c r="N5" i="2"/>
  <c r="N6" i="2"/>
  <c r="N7" i="2"/>
  <c r="N8" i="2"/>
  <c r="N3" i="2"/>
  <c r="H4" i="2"/>
  <c r="H5" i="2"/>
  <c r="H6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F4" i="2"/>
  <c r="F5" i="2"/>
  <c r="F6" i="2"/>
  <c r="F7" i="2"/>
  <c r="F8" i="2"/>
  <c r="F9" i="2"/>
  <c r="F10" i="2"/>
  <c r="F11" i="2"/>
  <c r="F12" i="2"/>
  <c r="F3" i="2"/>
  <c r="I8" i="1"/>
  <c r="K8" i="1" s="1"/>
  <c r="J8" i="1"/>
  <c r="I9" i="1"/>
  <c r="J9" i="1"/>
  <c r="K9" i="1" s="1"/>
  <c r="D12" i="1"/>
  <c r="C12" i="1"/>
  <c r="E11" i="1"/>
  <c r="E10" i="1"/>
  <c r="E9" i="1"/>
  <c r="E8" i="1"/>
  <c r="E22" i="1"/>
  <c r="F22" i="1" s="1"/>
  <c r="E21" i="1"/>
  <c r="F21" i="1" s="1"/>
  <c r="E20" i="1"/>
  <c r="F20" i="1" s="1"/>
  <c r="E19" i="1"/>
  <c r="F19" i="1" s="1"/>
  <c r="E12" i="1" l="1"/>
  <c r="I10" i="1"/>
  <c r="J10" i="1"/>
  <c r="C28" i="1"/>
  <c r="F28" i="1" s="1"/>
  <c r="C29" i="1"/>
  <c r="C27" i="1"/>
  <c r="G22" i="1"/>
  <c r="D30" i="1" s="1"/>
  <c r="G21" i="1"/>
  <c r="D29" i="1" s="1"/>
  <c r="C30" i="1"/>
  <c r="G19" i="1"/>
  <c r="D27" i="1" s="1"/>
  <c r="G20" i="1"/>
  <c r="D28" i="1" s="1"/>
  <c r="K10" i="1" l="1"/>
  <c r="F27" i="1"/>
  <c r="F29" i="1"/>
  <c r="F30" i="1"/>
</calcChain>
</file>

<file path=xl/sharedStrings.xml><?xml version="1.0" encoding="utf-8"?>
<sst xmlns="http://schemas.openxmlformats.org/spreadsheetml/2006/main" count="154" uniqueCount="31">
  <si>
    <t>V</t>
  </si>
  <si>
    <t>C</t>
  </si>
  <si>
    <t>SN</t>
  </si>
  <si>
    <t>SP</t>
  </si>
  <si>
    <t>&lt;9</t>
  </si>
  <si>
    <t>&gt;9</t>
  </si>
  <si>
    <t>Age</t>
  </si>
  <si>
    <t xml:space="preserve">Total </t>
  </si>
  <si>
    <t>Total</t>
  </si>
  <si>
    <t>Serostatus</t>
  </si>
  <si>
    <t>Trial</t>
  </si>
  <si>
    <t>CYD14</t>
  </si>
  <si>
    <t>CYD15</t>
  </si>
  <si>
    <t>CYD23</t>
  </si>
  <si>
    <t>For each age-group and trial arm, what's the probability of being SP or SN</t>
  </si>
  <si>
    <t>Prop SP</t>
  </si>
  <si>
    <t>Prop SN</t>
  </si>
  <si>
    <t>From the serostatus paper table S5, the serostatus of those in the 10~ randomly selected subcohort (not bias by extra cases)</t>
  </si>
  <si>
    <t xml:space="preserve">From Hadinegoro et al. Table 1 - populations by trial, age, trial arm. Populations are subject to LTFU, but can't find any age-stratified populations from trial baseline. I've checked and LTFU is balanced between trial arms so I don't think it will create bias. </t>
  </si>
  <si>
    <t xml:space="preserve">Here I sum over trial </t>
  </si>
  <si>
    <t>We can see prob of being SP is higher in older age groups as we would expect</t>
  </si>
  <si>
    <t>Prob being SP is also higher in V than C in youngest age group - but more balanced in older age-group</t>
  </si>
  <si>
    <t>Final populations stratified by serostatus</t>
  </si>
  <si>
    <t>Check SN and SP sum back to original populations</t>
  </si>
  <si>
    <t>age</t>
  </si>
  <si>
    <t>arm</t>
  </si>
  <si>
    <t xml:space="preserve">trial </t>
  </si>
  <si>
    <t>2-8yrs</t>
  </si>
  <si>
    <t>9-16yrs</t>
  </si>
  <si>
    <t>For each age-group, trial and trial arm, what's the probability of being SP or SN</t>
  </si>
  <si>
    <t xml:space="preserve">Slightly higher prob of being SP in V than C was seen in CYD14 and CYD15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</si>
</sst>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125-5373-F442-836C-8EDBC323B9D5}">
  <dimension ref="A1:Q30"/>
  <sheetViews>
    <sheetView zoomScale="114" zoomScaleNormal="114" workbookViewId="0">
      <selection activeCell="G19" sqref="G19"/>
    </sheetView>
  </sheetViews>
  <sheetFormatPr baseColWidth="10" defaultRowHeight="16" x14ac:dyDescent="0.2"/>
  <cols>
    <col min="1" max="1" width="10.83203125" customWidth="1"/>
    <col min="3" max="3" width="11.1640625" bestFit="1" customWidth="1"/>
    <col min="16" max="16" width="19.5" customWidth="1"/>
  </cols>
  <sheetData>
    <row r="1" spans="1:17" x14ac:dyDescent="0.2">
      <c r="A1" s="1"/>
      <c r="B1" s="1"/>
      <c r="C1" s="1"/>
      <c r="D1" s="1"/>
      <c r="E1" s="1"/>
      <c r="G1" s="12" t="s">
        <v>10</v>
      </c>
      <c r="H1" s="4" t="s">
        <v>6</v>
      </c>
      <c r="I1" s="4" t="s">
        <v>0</v>
      </c>
      <c r="J1" s="4" t="s">
        <v>1</v>
      </c>
      <c r="K1" s="13" t="s">
        <v>8</v>
      </c>
    </row>
    <row r="2" spans="1:17" x14ac:dyDescent="0.2">
      <c r="A2" s="20" t="s">
        <v>17</v>
      </c>
      <c r="B2" s="20"/>
      <c r="C2" s="20"/>
      <c r="D2" s="20"/>
      <c r="E2" s="20"/>
      <c r="G2" s="17" t="s">
        <v>11</v>
      </c>
      <c r="H2" s="1" t="s">
        <v>4</v>
      </c>
      <c r="I2">
        <v>3493</v>
      </c>
      <c r="J2">
        <v>1741</v>
      </c>
      <c r="K2" s="7"/>
    </row>
    <row r="3" spans="1:17" ht="16" customHeight="1" x14ac:dyDescent="0.2">
      <c r="A3" s="20"/>
      <c r="B3" s="20"/>
      <c r="C3" s="20"/>
      <c r="D3" s="20"/>
      <c r="E3" s="20"/>
      <c r="G3" s="17"/>
      <c r="H3" s="1" t="s">
        <v>5</v>
      </c>
      <c r="I3">
        <v>3285</v>
      </c>
      <c r="J3">
        <v>1646</v>
      </c>
      <c r="K3" s="7"/>
      <c r="L3" s="19" t="s">
        <v>18</v>
      </c>
      <c r="M3" s="19"/>
      <c r="N3" s="19"/>
      <c r="O3" s="19"/>
      <c r="P3" s="19"/>
      <c r="Q3" s="19"/>
    </row>
    <row r="4" spans="1:17" ht="16" customHeight="1" x14ac:dyDescent="0.2">
      <c r="A4" s="20"/>
      <c r="B4" s="20"/>
      <c r="C4" s="20"/>
      <c r="D4" s="20"/>
      <c r="E4" s="20"/>
      <c r="G4" s="17" t="s">
        <v>12</v>
      </c>
      <c r="H4" s="1" t="s">
        <v>4</v>
      </c>
      <c r="I4">
        <v>0</v>
      </c>
      <c r="J4">
        <v>0</v>
      </c>
      <c r="K4" s="7"/>
      <c r="L4" s="19"/>
      <c r="M4" s="19"/>
      <c r="N4" s="19"/>
      <c r="O4" s="19"/>
      <c r="P4" s="19"/>
      <c r="Q4" s="19"/>
    </row>
    <row r="5" spans="1:17" x14ac:dyDescent="0.2">
      <c r="A5" s="1"/>
      <c r="B5" s="1"/>
      <c r="G5" s="17"/>
      <c r="H5" s="1" t="s">
        <v>5</v>
      </c>
      <c r="I5">
        <v>13268</v>
      </c>
      <c r="J5">
        <v>6630</v>
      </c>
      <c r="K5" s="7"/>
      <c r="L5" s="19"/>
      <c r="M5" s="19"/>
      <c r="N5" s="19"/>
      <c r="O5" s="19"/>
      <c r="P5" s="19"/>
      <c r="Q5" s="19"/>
    </row>
    <row r="6" spans="1:17" x14ac:dyDescent="0.2">
      <c r="A6" s="1"/>
      <c r="B6" s="1"/>
      <c r="G6" s="17" t="s">
        <v>13</v>
      </c>
      <c r="H6" s="1" t="s">
        <v>4</v>
      </c>
      <c r="I6">
        <v>1338</v>
      </c>
      <c r="J6">
        <v>665</v>
      </c>
      <c r="K6" s="7"/>
      <c r="L6" s="19"/>
      <c r="M6" s="19"/>
      <c r="N6" s="19"/>
      <c r="O6" s="19"/>
      <c r="P6" s="19"/>
      <c r="Q6" s="19"/>
    </row>
    <row r="7" spans="1:17" x14ac:dyDescent="0.2">
      <c r="A7" s="12" t="s">
        <v>6</v>
      </c>
      <c r="B7" s="4" t="s">
        <v>9</v>
      </c>
      <c r="C7" s="4" t="s">
        <v>0</v>
      </c>
      <c r="D7" s="4" t="s">
        <v>1</v>
      </c>
      <c r="E7" s="13" t="s">
        <v>8</v>
      </c>
      <c r="G7" s="18"/>
      <c r="H7" s="9" t="s">
        <v>5</v>
      </c>
      <c r="I7" s="10">
        <v>793</v>
      </c>
      <c r="J7" s="10">
        <v>407</v>
      </c>
      <c r="K7" s="11"/>
    </row>
    <row r="8" spans="1:17" x14ac:dyDescent="0.2">
      <c r="A8" s="17" t="s">
        <v>4</v>
      </c>
      <c r="B8" s="1" t="s">
        <v>2</v>
      </c>
      <c r="C8">
        <v>182</v>
      </c>
      <c r="D8">
        <v>101</v>
      </c>
      <c r="E8" s="7">
        <f>SUM(C8:D8)</f>
        <v>283</v>
      </c>
      <c r="G8" s="16" t="s">
        <v>8</v>
      </c>
      <c r="H8" s="4" t="s">
        <v>4</v>
      </c>
      <c r="I8" s="5">
        <f>SUM(I2,I4,I6)</f>
        <v>4831</v>
      </c>
      <c r="J8" s="5">
        <f>SUM(J2,J4,J6)</f>
        <v>2406</v>
      </c>
      <c r="K8" s="6">
        <f>SUM(I8:J8)</f>
        <v>7237</v>
      </c>
      <c r="L8" t="s">
        <v>19</v>
      </c>
    </row>
    <row r="9" spans="1:17" x14ac:dyDescent="0.2">
      <c r="A9" s="17"/>
      <c r="B9" s="1" t="s">
        <v>3</v>
      </c>
      <c r="C9">
        <v>300</v>
      </c>
      <c r="D9">
        <v>135</v>
      </c>
      <c r="E9" s="7">
        <f t="shared" ref="E9:E11" si="0">SUM(C9:D9)</f>
        <v>435</v>
      </c>
      <c r="G9" s="17"/>
      <c r="H9" s="1" t="s">
        <v>5</v>
      </c>
      <c r="I9">
        <f>SUM(I3,I5,I7)</f>
        <v>17346</v>
      </c>
      <c r="J9">
        <f>SUM(J3,J5,J7)</f>
        <v>8683</v>
      </c>
      <c r="K9" s="7">
        <f>SUM(I9:J9)</f>
        <v>26029</v>
      </c>
    </row>
    <row r="10" spans="1:17" x14ac:dyDescent="0.2">
      <c r="A10" s="17" t="s">
        <v>5</v>
      </c>
      <c r="B10" s="1" t="s">
        <v>2</v>
      </c>
      <c r="C10">
        <v>330</v>
      </c>
      <c r="D10">
        <v>171</v>
      </c>
      <c r="E10" s="7">
        <f t="shared" si="0"/>
        <v>501</v>
      </c>
      <c r="G10" s="8"/>
      <c r="H10" s="9" t="s">
        <v>8</v>
      </c>
      <c r="I10" s="10">
        <f>SUM(I8:I9)</f>
        <v>22177</v>
      </c>
      <c r="J10" s="10">
        <f>SUM(J8:J9)</f>
        <v>11089</v>
      </c>
      <c r="K10" s="11">
        <f>SUM(K8:K9)</f>
        <v>33266</v>
      </c>
    </row>
    <row r="11" spans="1:17" x14ac:dyDescent="0.2">
      <c r="A11" s="17"/>
      <c r="B11" s="1" t="s">
        <v>3</v>
      </c>
      <c r="C11">
        <v>1450</v>
      </c>
      <c r="D11">
        <v>687</v>
      </c>
      <c r="E11" s="7">
        <f t="shared" si="0"/>
        <v>2137</v>
      </c>
    </row>
    <row r="12" spans="1:17" x14ac:dyDescent="0.2">
      <c r="A12" s="14"/>
      <c r="B12" s="9" t="s">
        <v>7</v>
      </c>
      <c r="C12" s="10">
        <f>SUM(C8:C11)</f>
        <v>2262</v>
      </c>
      <c r="D12" s="10">
        <f>SUM(D8:D11)</f>
        <v>1094</v>
      </c>
      <c r="E12" s="11">
        <f>SUM(E8:E11)</f>
        <v>3356</v>
      </c>
    </row>
    <row r="13" spans="1:17" x14ac:dyDescent="0.2">
      <c r="A13" s="1"/>
      <c r="B13" s="1"/>
    </row>
    <row r="16" spans="1:17" x14ac:dyDescent="0.2">
      <c r="A16" t="s">
        <v>14</v>
      </c>
    </row>
    <row r="18" spans="1:9" x14ac:dyDescent="0.2">
      <c r="A18" s="1" t="s">
        <v>6</v>
      </c>
      <c r="B18" s="1" t="s">
        <v>10</v>
      </c>
      <c r="C18" s="1" t="s">
        <v>2</v>
      </c>
      <c r="D18" s="1" t="s">
        <v>3</v>
      </c>
      <c r="E18" s="1" t="s">
        <v>8</v>
      </c>
      <c r="F18" s="1" t="s">
        <v>16</v>
      </c>
      <c r="G18" s="1" t="s">
        <v>15</v>
      </c>
    </row>
    <row r="19" spans="1:9" x14ac:dyDescent="0.2">
      <c r="A19" s="21" t="s">
        <v>4</v>
      </c>
      <c r="B19" s="1" t="s">
        <v>0</v>
      </c>
      <c r="C19">
        <v>182</v>
      </c>
      <c r="D19">
        <v>300</v>
      </c>
      <c r="E19">
        <f>SUM(C19:D19)</f>
        <v>482</v>
      </c>
      <c r="F19">
        <f>C19/E19</f>
        <v>0.37759336099585061</v>
      </c>
      <c r="G19">
        <f>D19/E19</f>
        <v>0.62240663900414939</v>
      </c>
      <c r="I19" t="s">
        <v>20</v>
      </c>
    </row>
    <row r="20" spans="1:9" x14ac:dyDescent="0.2">
      <c r="A20" s="21"/>
      <c r="B20" s="1" t="s">
        <v>1</v>
      </c>
      <c r="C20">
        <v>101</v>
      </c>
      <c r="D20">
        <v>135</v>
      </c>
      <c r="E20">
        <f t="shared" ref="E20:E22" si="1">SUM(C20:D20)</f>
        <v>236</v>
      </c>
      <c r="F20">
        <f t="shared" ref="F20:F22" si="2">C20/E20</f>
        <v>0.42796610169491528</v>
      </c>
      <c r="G20">
        <f t="shared" ref="G20:G22" si="3">D20/E20</f>
        <v>0.57203389830508478</v>
      </c>
      <c r="I20" t="s">
        <v>21</v>
      </c>
    </row>
    <row r="21" spans="1:9" x14ac:dyDescent="0.2">
      <c r="A21" s="21" t="s">
        <v>5</v>
      </c>
      <c r="B21" s="1" t="s">
        <v>0</v>
      </c>
      <c r="C21">
        <v>330</v>
      </c>
      <c r="D21">
        <v>1450</v>
      </c>
      <c r="E21">
        <f t="shared" si="1"/>
        <v>1780</v>
      </c>
      <c r="F21">
        <f t="shared" si="2"/>
        <v>0.1853932584269663</v>
      </c>
      <c r="G21">
        <f t="shared" si="3"/>
        <v>0.8146067415730337</v>
      </c>
      <c r="I21" t="s">
        <v>30</v>
      </c>
    </row>
    <row r="22" spans="1:9" x14ac:dyDescent="0.2">
      <c r="A22" s="21"/>
      <c r="B22" s="1" t="s">
        <v>1</v>
      </c>
      <c r="C22">
        <v>171</v>
      </c>
      <c r="D22">
        <v>687</v>
      </c>
      <c r="E22">
        <f t="shared" si="1"/>
        <v>858</v>
      </c>
      <c r="F22">
        <f t="shared" si="2"/>
        <v>0.1993006993006993</v>
      </c>
      <c r="G22">
        <f t="shared" si="3"/>
        <v>0.80069930069930073</v>
      </c>
    </row>
    <row r="23" spans="1:9" x14ac:dyDescent="0.2">
      <c r="A23" s="1"/>
      <c r="B23" s="1"/>
    </row>
    <row r="24" spans="1:9" x14ac:dyDescent="0.2">
      <c r="A24" t="s">
        <v>22</v>
      </c>
    </row>
    <row r="25" spans="1:9" x14ac:dyDescent="0.2">
      <c r="F25" t="s">
        <v>23</v>
      </c>
    </row>
    <row r="26" spans="1:9" x14ac:dyDescent="0.2">
      <c r="A26" s="1" t="s">
        <v>6</v>
      </c>
      <c r="B26" s="1" t="s">
        <v>10</v>
      </c>
      <c r="C26" s="1" t="s">
        <v>2</v>
      </c>
      <c r="D26" s="1" t="s">
        <v>3</v>
      </c>
    </row>
    <row r="27" spans="1:9" x14ac:dyDescent="0.2">
      <c r="A27" s="21" t="s">
        <v>4</v>
      </c>
      <c r="B27" s="1" t="s">
        <v>0</v>
      </c>
      <c r="C27" s="3">
        <f>F19*I8</f>
        <v>1824.1535269709543</v>
      </c>
      <c r="D27" s="3">
        <f>G19*I8</f>
        <v>3006.8464730290457</v>
      </c>
      <c r="F27" s="2">
        <f>SUM(C27:D27)</f>
        <v>4831</v>
      </c>
    </row>
    <row r="28" spans="1:9" x14ac:dyDescent="0.2">
      <c r="A28" s="21"/>
      <c r="B28" s="1" t="s">
        <v>1</v>
      </c>
      <c r="C28" s="3">
        <f>F20*J8</f>
        <v>1029.6864406779662</v>
      </c>
      <c r="D28" s="3">
        <f>G20*J8</f>
        <v>1376.3135593220341</v>
      </c>
      <c r="F28" s="2">
        <f t="shared" ref="F28:F30" si="4">SUM(C28:D28)</f>
        <v>2406</v>
      </c>
    </row>
    <row r="29" spans="1:9" x14ac:dyDescent="0.2">
      <c r="A29" s="21" t="s">
        <v>5</v>
      </c>
      <c r="B29" s="1" t="s">
        <v>0</v>
      </c>
      <c r="C29" s="3">
        <f>I9*F21</f>
        <v>3215.8314606741574</v>
      </c>
      <c r="D29" s="3">
        <f>I9*G21</f>
        <v>14130.168539325843</v>
      </c>
      <c r="F29" s="2">
        <f t="shared" si="4"/>
        <v>17346</v>
      </c>
    </row>
    <row r="30" spans="1:9" x14ac:dyDescent="0.2">
      <c r="A30" s="21"/>
      <c r="B30" s="1" t="s">
        <v>1</v>
      </c>
      <c r="C30" s="3">
        <f>J9*F22</f>
        <v>1730.5279720279721</v>
      </c>
      <c r="D30" s="3">
        <f>J9*G22</f>
        <v>6952.4720279720286</v>
      </c>
      <c r="F30" s="2">
        <f t="shared" si="4"/>
        <v>8683</v>
      </c>
    </row>
  </sheetData>
  <mergeCells count="12">
    <mergeCell ref="A2:E4"/>
    <mergeCell ref="A19:A20"/>
    <mergeCell ref="A21:A22"/>
    <mergeCell ref="A27:A28"/>
    <mergeCell ref="A29:A30"/>
    <mergeCell ref="A8:A9"/>
    <mergeCell ref="A10:A11"/>
    <mergeCell ref="G8:G9"/>
    <mergeCell ref="G2:G3"/>
    <mergeCell ref="G4:G5"/>
    <mergeCell ref="G6:G7"/>
    <mergeCell ref="L3:Q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230D-2073-2B4B-94DB-8827153A1F34}">
  <dimension ref="A1:T28"/>
  <sheetViews>
    <sheetView tabSelected="1" zoomScale="114" workbookViewId="0">
      <selection activeCell="I16" sqref="I16"/>
    </sheetView>
  </sheetViews>
  <sheetFormatPr baseColWidth="10" defaultRowHeight="16" x14ac:dyDescent="0.2"/>
  <cols>
    <col min="10" max="10" width="10.83203125" customWidth="1"/>
  </cols>
  <sheetData>
    <row r="1" spans="1:20" ht="91" customHeight="1" x14ac:dyDescent="0.2">
      <c r="A1" s="22" t="s">
        <v>17</v>
      </c>
      <c r="B1" s="22"/>
      <c r="C1" s="22"/>
      <c r="D1" s="22"/>
      <c r="F1" s="19" t="s">
        <v>29</v>
      </c>
      <c r="G1" s="19"/>
      <c r="J1" s="23" t="s">
        <v>18</v>
      </c>
      <c r="K1" s="23"/>
      <c r="L1" s="23"/>
      <c r="M1" s="23"/>
      <c r="N1" s="23"/>
    </row>
    <row r="2" spans="1:20" x14ac:dyDescent="0.2">
      <c r="A2" s="1" t="s">
        <v>26</v>
      </c>
      <c r="B2" s="1" t="s">
        <v>24</v>
      </c>
      <c r="C2" s="1" t="s">
        <v>25</v>
      </c>
      <c r="D2" s="1" t="s">
        <v>2</v>
      </c>
      <c r="E2" s="1" t="s">
        <v>3</v>
      </c>
      <c r="F2" s="1" t="s">
        <v>8</v>
      </c>
      <c r="G2" s="1" t="s">
        <v>16</v>
      </c>
      <c r="H2" s="1" t="s">
        <v>15</v>
      </c>
      <c r="I2" s="1"/>
      <c r="J2" s="12" t="s">
        <v>10</v>
      </c>
      <c r="K2" s="4" t="s">
        <v>6</v>
      </c>
      <c r="L2" s="4" t="s">
        <v>0</v>
      </c>
      <c r="M2" s="4" t="s">
        <v>1</v>
      </c>
      <c r="N2" s="13" t="s">
        <v>8</v>
      </c>
    </row>
    <row r="3" spans="1:20" x14ac:dyDescent="0.2">
      <c r="A3" t="s">
        <v>11</v>
      </c>
      <c r="B3" t="s">
        <v>27</v>
      </c>
      <c r="C3" t="s">
        <v>0</v>
      </c>
      <c r="D3">
        <v>128</v>
      </c>
      <c r="E3">
        <v>209</v>
      </c>
      <c r="F3">
        <f>SUM(D3:E3)</f>
        <v>337</v>
      </c>
      <c r="G3">
        <f>D3/F3</f>
        <v>0.37982195845697331</v>
      </c>
      <c r="H3">
        <f>E3/F3</f>
        <v>0.62017804154302669</v>
      </c>
      <c r="J3" s="17" t="s">
        <v>11</v>
      </c>
      <c r="K3" t="s">
        <v>27</v>
      </c>
      <c r="L3">
        <v>3493</v>
      </c>
      <c r="M3">
        <v>1741</v>
      </c>
      <c r="N3" s="7">
        <f>SUM(L3:M3)</f>
        <v>5234</v>
      </c>
    </row>
    <row r="4" spans="1:20" ht="16" customHeight="1" x14ac:dyDescent="0.2">
      <c r="A4" t="s">
        <v>11</v>
      </c>
      <c r="B4" t="s">
        <v>27</v>
      </c>
      <c r="C4" t="s">
        <v>1</v>
      </c>
      <c r="D4">
        <v>73</v>
      </c>
      <c r="E4">
        <v>91</v>
      </c>
      <c r="F4">
        <f t="shared" ref="F4:F12" si="0">SUM(D4:E4)</f>
        <v>164</v>
      </c>
      <c r="G4">
        <f t="shared" ref="G4:G12" si="1">D4/F4</f>
        <v>0.4451219512195122</v>
      </c>
      <c r="H4">
        <f t="shared" ref="H4:H12" si="2">E4/F4</f>
        <v>0.55487804878048785</v>
      </c>
      <c r="J4" s="17"/>
      <c r="K4" t="s">
        <v>28</v>
      </c>
      <c r="L4">
        <v>3285</v>
      </c>
      <c r="M4">
        <v>1646</v>
      </c>
      <c r="N4" s="7">
        <f t="shared" ref="N4:N8" si="3">SUM(L4:M4)</f>
        <v>4931</v>
      </c>
      <c r="O4" s="15"/>
      <c r="P4" s="15"/>
      <c r="Q4" s="15"/>
      <c r="R4" s="15"/>
      <c r="S4" s="15"/>
      <c r="T4" s="15"/>
    </row>
    <row r="5" spans="1:20" x14ac:dyDescent="0.2">
      <c r="A5" t="s">
        <v>11</v>
      </c>
      <c r="B5" t="s">
        <v>28</v>
      </c>
      <c r="C5" t="s">
        <v>0</v>
      </c>
      <c r="D5">
        <v>63</v>
      </c>
      <c r="E5">
        <v>283</v>
      </c>
      <c r="F5">
        <f t="shared" si="0"/>
        <v>346</v>
      </c>
      <c r="G5">
        <f t="shared" si="1"/>
        <v>0.18208092485549132</v>
      </c>
      <c r="H5">
        <f t="shared" si="2"/>
        <v>0.81791907514450868</v>
      </c>
      <c r="J5" s="17" t="s">
        <v>12</v>
      </c>
      <c r="K5" t="s">
        <v>27</v>
      </c>
      <c r="L5">
        <v>0</v>
      </c>
      <c r="M5">
        <v>0</v>
      </c>
      <c r="N5" s="7">
        <f t="shared" si="3"/>
        <v>0</v>
      </c>
      <c r="O5" s="15"/>
      <c r="P5" s="15"/>
      <c r="Q5" s="15"/>
      <c r="R5" s="15"/>
      <c r="S5" s="15"/>
      <c r="T5" s="15"/>
    </row>
    <row r="6" spans="1:20" x14ac:dyDescent="0.2">
      <c r="A6" t="s">
        <v>11</v>
      </c>
      <c r="B6" t="s">
        <v>28</v>
      </c>
      <c r="C6" t="s">
        <v>1</v>
      </c>
      <c r="D6">
        <v>27</v>
      </c>
      <c r="E6">
        <v>137</v>
      </c>
      <c r="F6">
        <f t="shared" si="0"/>
        <v>164</v>
      </c>
      <c r="G6">
        <f t="shared" si="1"/>
        <v>0.16463414634146342</v>
      </c>
      <c r="H6">
        <f t="shared" si="2"/>
        <v>0.83536585365853655</v>
      </c>
      <c r="J6" s="17"/>
      <c r="K6" t="s">
        <v>28</v>
      </c>
      <c r="L6">
        <v>13268</v>
      </c>
      <c r="M6">
        <v>6630</v>
      </c>
      <c r="N6" s="7">
        <f t="shared" si="3"/>
        <v>19898</v>
      </c>
      <c r="O6" s="15"/>
      <c r="P6" s="15"/>
      <c r="Q6" s="15"/>
      <c r="R6" s="15"/>
      <c r="S6" s="15"/>
      <c r="T6" s="15"/>
    </row>
    <row r="7" spans="1:20" x14ac:dyDescent="0.2">
      <c r="A7" t="s">
        <v>12</v>
      </c>
      <c r="B7" t="s">
        <v>28</v>
      </c>
      <c r="C7" t="s">
        <v>0</v>
      </c>
      <c r="D7">
        <v>246</v>
      </c>
      <c r="E7">
        <v>1107</v>
      </c>
      <c r="F7">
        <f t="shared" si="0"/>
        <v>1353</v>
      </c>
      <c r="G7">
        <f t="shared" si="1"/>
        <v>0.18181818181818182</v>
      </c>
      <c r="H7">
        <f t="shared" si="2"/>
        <v>0.81818181818181823</v>
      </c>
      <c r="J7" s="17" t="s">
        <v>13</v>
      </c>
      <c r="K7" t="s">
        <v>27</v>
      </c>
      <c r="L7">
        <v>1338</v>
      </c>
      <c r="M7">
        <v>665</v>
      </c>
      <c r="N7" s="7">
        <f t="shared" si="3"/>
        <v>2003</v>
      </c>
      <c r="O7" s="15"/>
      <c r="P7" s="15"/>
      <c r="Q7" s="15"/>
      <c r="R7" s="15"/>
      <c r="S7" s="15"/>
      <c r="T7" s="15"/>
    </row>
    <row r="8" spans="1:20" x14ac:dyDescent="0.2">
      <c r="A8" t="s">
        <v>12</v>
      </c>
      <c r="B8" t="s">
        <v>28</v>
      </c>
      <c r="C8" t="s">
        <v>1</v>
      </c>
      <c r="D8">
        <v>130</v>
      </c>
      <c r="E8">
        <v>518</v>
      </c>
      <c r="F8">
        <f t="shared" si="0"/>
        <v>648</v>
      </c>
      <c r="G8">
        <f t="shared" si="1"/>
        <v>0.20061728395061729</v>
      </c>
      <c r="H8">
        <f t="shared" si="2"/>
        <v>0.79938271604938271</v>
      </c>
      <c r="J8" s="18"/>
      <c r="K8" s="10" t="s">
        <v>28</v>
      </c>
      <c r="L8" s="10">
        <v>793</v>
      </c>
      <c r="M8" s="10">
        <v>407</v>
      </c>
      <c r="N8" s="11">
        <f t="shared" si="3"/>
        <v>1200</v>
      </c>
    </row>
    <row r="9" spans="1:20" x14ac:dyDescent="0.2">
      <c r="A9" t="s">
        <v>13</v>
      </c>
      <c r="B9" t="s">
        <v>27</v>
      </c>
      <c r="C9" t="s">
        <v>0</v>
      </c>
      <c r="D9">
        <v>54</v>
      </c>
      <c r="E9">
        <v>91</v>
      </c>
      <c r="F9">
        <f t="shared" si="0"/>
        <v>145</v>
      </c>
      <c r="G9">
        <f t="shared" si="1"/>
        <v>0.3724137931034483</v>
      </c>
      <c r="H9">
        <f t="shared" si="2"/>
        <v>0.62758620689655176</v>
      </c>
      <c r="J9" s="1"/>
      <c r="K9" s="1"/>
    </row>
    <row r="10" spans="1:20" x14ac:dyDescent="0.2">
      <c r="A10" t="s">
        <v>13</v>
      </c>
      <c r="B10" t="s">
        <v>27</v>
      </c>
      <c r="C10" t="s">
        <v>1</v>
      </c>
      <c r="D10">
        <v>28</v>
      </c>
      <c r="E10">
        <v>44</v>
      </c>
      <c r="F10">
        <f t="shared" si="0"/>
        <v>72</v>
      </c>
      <c r="G10">
        <f t="shared" si="1"/>
        <v>0.3888888888888889</v>
      </c>
      <c r="H10">
        <f t="shared" si="2"/>
        <v>0.61111111111111116</v>
      </c>
      <c r="J10" s="1"/>
      <c r="K10" s="1"/>
      <c r="N10">
        <f>SUM(N3:N8)</f>
        <v>33266</v>
      </c>
    </row>
    <row r="11" spans="1:20" x14ac:dyDescent="0.2">
      <c r="A11" t="s">
        <v>13</v>
      </c>
      <c r="B11" t="s">
        <v>28</v>
      </c>
      <c r="C11" t="s">
        <v>0</v>
      </c>
      <c r="D11">
        <v>21</v>
      </c>
      <c r="E11">
        <v>60</v>
      </c>
      <c r="F11">
        <f t="shared" si="0"/>
        <v>81</v>
      </c>
      <c r="G11">
        <f t="shared" si="1"/>
        <v>0.25925925925925924</v>
      </c>
      <c r="H11">
        <f t="shared" si="2"/>
        <v>0.7407407407407407</v>
      </c>
      <c r="K11" s="1"/>
    </row>
    <row r="12" spans="1:20" x14ac:dyDescent="0.2">
      <c r="A12" t="s">
        <v>13</v>
      </c>
      <c r="B12" t="s">
        <v>28</v>
      </c>
      <c r="C12" t="s">
        <v>1</v>
      </c>
      <c r="D12">
        <v>14</v>
      </c>
      <c r="E12">
        <v>32</v>
      </c>
      <c r="F12">
        <f t="shared" si="0"/>
        <v>46</v>
      </c>
      <c r="G12">
        <f t="shared" si="1"/>
        <v>0.30434782608695654</v>
      </c>
      <c r="H12">
        <f t="shared" si="2"/>
        <v>0.69565217391304346</v>
      </c>
    </row>
    <row r="16" spans="1:20" x14ac:dyDescent="0.2">
      <c r="A16" t="s">
        <v>22</v>
      </c>
    </row>
    <row r="18" spans="1:9" x14ac:dyDescent="0.2">
      <c r="A18" s="1" t="s">
        <v>26</v>
      </c>
      <c r="B18" s="1" t="s">
        <v>24</v>
      </c>
      <c r="C18" s="1" t="s">
        <v>25</v>
      </c>
      <c r="D18" s="1" t="s">
        <v>2</v>
      </c>
      <c r="E18" s="1" t="s">
        <v>3</v>
      </c>
      <c r="F18" s="1" t="s">
        <v>8</v>
      </c>
      <c r="G18" s="1"/>
      <c r="H18" s="1"/>
      <c r="I18" s="1"/>
    </row>
    <row r="19" spans="1:9" x14ac:dyDescent="0.2">
      <c r="A19" t="s">
        <v>11</v>
      </c>
      <c r="B19" t="s">
        <v>27</v>
      </c>
      <c r="C19" t="s">
        <v>0</v>
      </c>
      <c r="D19" s="3">
        <f>G3*$L$3</f>
        <v>1326.7181008902078</v>
      </c>
      <c r="E19" s="3">
        <f>H3*$L$3</f>
        <v>2166.2818991097924</v>
      </c>
      <c r="F19" s="3">
        <f>SUM(D19:E19)</f>
        <v>3493</v>
      </c>
    </row>
    <row r="20" spans="1:9" x14ac:dyDescent="0.2">
      <c r="A20" t="s">
        <v>11</v>
      </c>
      <c r="B20" t="s">
        <v>27</v>
      </c>
      <c r="C20" t="s">
        <v>1</v>
      </c>
      <c r="D20" s="3">
        <f>G4*$M$3</f>
        <v>774.95731707317077</v>
      </c>
      <c r="E20" s="3">
        <f>H4*$M$3</f>
        <v>966.04268292682934</v>
      </c>
      <c r="F20" s="3">
        <f t="shared" ref="F20:F28" si="4">SUM(D20:E20)</f>
        <v>1741</v>
      </c>
    </row>
    <row r="21" spans="1:9" x14ac:dyDescent="0.2">
      <c r="A21" t="s">
        <v>11</v>
      </c>
      <c r="B21" t="s">
        <v>28</v>
      </c>
      <c r="C21" t="s">
        <v>0</v>
      </c>
      <c r="D21" s="3">
        <f>G5*$L$4</f>
        <v>598.13583815028903</v>
      </c>
      <c r="E21" s="3">
        <f>H5*$L$4</f>
        <v>2686.8641618497109</v>
      </c>
      <c r="F21" s="3">
        <f t="shared" si="4"/>
        <v>3285</v>
      </c>
    </row>
    <row r="22" spans="1:9" x14ac:dyDescent="0.2">
      <c r="A22" t="s">
        <v>11</v>
      </c>
      <c r="B22" t="s">
        <v>28</v>
      </c>
      <c r="C22" t="s">
        <v>1</v>
      </c>
      <c r="D22" s="3">
        <f>G6*$M$4</f>
        <v>270.98780487804879</v>
      </c>
      <c r="E22" s="3">
        <f>H6*$M$4</f>
        <v>1375.0121951219512</v>
      </c>
      <c r="F22" s="3">
        <f t="shared" si="4"/>
        <v>1646</v>
      </c>
    </row>
    <row r="23" spans="1:9" x14ac:dyDescent="0.2">
      <c r="A23" t="s">
        <v>12</v>
      </c>
      <c r="B23" t="s">
        <v>28</v>
      </c>
      <c r="C23" t="s">
        <v>0</v>
      </c>
      <c r="D23" s="3">
        <f>G7*$L$6</f>
        <v>2412.3636363636365</v>
      </c>
      <c r="E23" s="3">
        <f>H7*$L$6</f>
        <v>10855.636363636364</v>
      </c>
      <c r="F23" s="3">
        <f t="shared" si="4"/>
        <v>13268</v>
      </c>
    </row>
    <row r="24" spans="1:9" x14ac:dyDescent="0.2">
      <c r="A24" t="s">
        <v>12</v>
      </c>
      <c r="B24" t="s">
        <v>28</v>
      </c>
      <c r="C24" t="s">
        <v>1</v>
      </c>
      <c r="D24" s="3">
        <f>G8*$M$6</f>
        <v>1330.0925925925926</v>
      </c>
      <c r="E24" s="3">
        <f>H8*$M$6</f>
        <v>5299.9074074074069</v>
      </c>
      <c r="F24" s="3">
        <f t="shared" si="4"/>
        <v>6630</v>
      </c>
    </row>
    <row r="25" spans="1:9" x14ac:dyDescent="0.2">
      <c r="A25" t="s">
        <v>13</v>
      </c>
      <c r="B25" t="s">
        <v>27</v>
      </c>
      <c r="C25" t="s">
        <v>0</v>
      </c>
      <c r="D25" s="3">
        <f>G9*$L$7</f>
        <v>498.2896551724138</v>
      </c>
      <c r="E25" s="3">
        <f>H9*$L$7</f>
        <v>839.71034482758625</v>
      </c>
      <c r="F25" s="3">
        <f t="shared" si="4"/>
        <v>1338</v>
      </c>
    </row>
    <row r="26" spans="1:9" x14ac:dyDescent="0.2">
      <c r="A26" t="s">
        <v>13</v>
      </c>
      <c r="B26" t="s">
        <v>27</v>
      </c>
      <c r="C26" t="s">
        <v>1</v>
      </c>
      <c r="D26" s="3">
        <f>G10*$M$7</f>
        <v>258.61111111111114</v>
      </c>
      <c r="E26" s="3">
        <f>H10*$M$7</f>
        <v>406.38888888888891</v>
      </c>
      <c r="F26" s="3">
        <f t="shared" si="4"/>
        <v>665</v>
      </c>
    </row>
    <row r="27" spans="1:9" x14ac:dyDescent="0.2">
      <c r="A27" t="s">
        <v>13</v>
      </c>
      <c r="B27" t="s">
        <v>28</v>
      </c>
      <c r="C27" t="s">
        <v>0</v>
      </c>
      <c r="D27" s="3">
        <f>G11*$L$8</f>
        <v>205.59259259259258</v>
      </c>
      <c r="E27" s="3">
        <f>H11*$L$8</f>
        <v>587.40740740740739</v>
      </c>
      <c r="F27" s="3">
        <f t="shared" si="4"/>
        <v>793</v>
      </c>
    </row>
    <row r="28" spans="1:9" x14ac:dyDescent="0.2">
      <c r="A28" t="s">
        <v>13</v>
      </c>
      <c r="B28" t="s">
        <v>28</v>
      </c>
      <c r="C28" t="s">
        <v>1</v>
      </c>
      <c r="D28" s="3">
        <f>G12*$M$8</f>
        <v>123.86956521739131</v>
      </c>
      <c r="E28" s="3">
        <f>H12*$M$8</f>
        <v>283.13043478260869</v>
      </c>
      <c r="F28" s="3">
        <f t="shared" si="4"/>
        <v>407</v>
      </c>
    </row>
  </sheetData>
  <mergeCells count="6">
    <mergeCell ref="J7:J8"/>
    <mergeCell ref="A1:D1"/>
    <mergeCell ref="J1:N1"/>
    <mergeCell ref="F1:G1"/>
    <mergeCell ref="J3:J4"/>
    <mergeCell ref="J5:J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trial</vt:lpstr>
      <vt:lpstr>with trial (better)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2024-02-01T16:35:43Z</dcterms:created>
  <dcterms:modified xsi:type="dcterms:W3CDTF">2024-02-06T17:07:32Z</dcterms:modified>
</cp:coreProperties>
</file>